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it-my.sharepoint.com/personal/s3673573_studenti_unige_it/Documents/Movendo/data/"/>
    </mc:Choice>
  </mc:AlternateContent>
  <xr:revisionPtr revIDLastSave="29" documentId="13_ncr:1_{BF884B11-F879-4405-8521-695FEADD6921}" xr6:coauthVersionLast="47" xr6:coauthVersionMax="47" xr10:uidLastSave="{2E7842C5-7285-4F2B-9CC8-B4A75B465E0B}"/>
  <bookViews>
    <workbookView xWindow="-120" yWindow="-120" windowWidth="29040" windowHeight="15840" xr2:uid="{F1BBCDE2-4F84-444F-899D-0FA3D6AB17E4}"/>
  </bookViews>
  <sheets>
    <sheet name="RL_weights" sheetId="1" r:id="rId1"/>
    <sheet name="value_range" sheetId="2" r:id="rId2"/>
    <sheet name="value_normality" sheetId="3" r:id="rId3"/>
  </sheets>
  <definedNames>
    <definedName name="_xlnm._FilterDatabase" localSheetId="0" hidden="1">RL_weights!$B$1:$B$32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DF2D0-4C59-42E3-8F4F-DC2649589FDB}" keepAlive="1" name="Query - fallrisk_eval_reference (10)" description="Connessione alla query 'fallrisk_eval_reference (10)' nella cartella di lavoro." type="5" refreshedVersion="0" background="1">
    <dbPr connection="Provider=Microsoft.Mashup.OleDb.1;Data Source=$Workbook$;Location=&quot;fallrisk_eval_reference (10)&quot;;Extended Properties=&quot;&quot;" command="SELECT * FROM [fallrisk_eval_reference (10)]"/>
  </connection>
  <connection id="2" xr16:uid="{D9D10BAF-2692-4D6B-913E-75EC872A7204}" keepAlive="1" name="Query - fallrisk_eval_reference (11)" description="Connessione alla query 'fallrisk_eval_reference (11)' nella cartella di lavoro." type="5" refreshedVersion="0" background="1">
    <dbPr connection="Provider=Microsoft.Mashup.OleDb.1;Data Source=$Workbook$;Location=&quot;fallrisk_eval_reference (11)&quot;;Extended Properties=&quot;&quot;" command="SELECT * FROM [fallrisk_eval_reference (11)]"/>
  </connection>
  <connection id="3" xr16:uid="{63B5D686-E790-4B2F-A221-2D65A1951985}" keepAlive="1" name="Query - fallrisk_eval_reference (5)" description="Connessione alla query 'fallrisk_eval_reference (5)' nella cartella di lavoro." type="5" refreshedVersion="8" background="1" saveData="1">
    <dbPr connection="Provider=Microsoft.Mashup.OleDb.1;Data Source=$Workbook$;Location=&quot;fallrisk_eval_reference (5)&quot;;Extended Properties=&quot;&quot;" command="SELECT * FROM [fallrisk_eval_reference (5)]"/>
  </connection>
  <connection id="4" xr16:uid="{AC901730-ECCB-439A-B6E9-F10857597305}" keepAlive="1" name="Query - fallrisk_eval_reference (6)" description="Connessione alla query 'fallrisk_eval_reference (6)' nella cartella di lavoro." type="5" refreshedVersion="0" background="1">
    <dbPr connection="Provider=Microsoft.Mashup.OleDb.1;Data Source=$Workbook$;Location=&quot;fallrisk_eval_reference (6)&quot;;Extended Properties=&quot;&quot;" command="SELECT * FROM [fallrisk_eval_reference (6)]"/>
  </connection>
  <connection id="5" xr16:uid="{811A8252-0B08-4B9F-9741-ED355B5D9FBF}" keepAlive="1" name="Query - fallrisk_eval_reference (7)" description="Connessione alla query 'fallrisk_eval_reference (7)' nella cartella di lavoro." type="5" refreshedVersion="0" background="1">
    <dbPr connection="Provider=Microsoft.Mashup.OleDb.1;Data Source=$Workbook$;Location=&quot;fallrisk_eval_reference (7)&quot;;Extended Properties=&quot;&quot;" command="SELECT * FROM [fallrisk_eval_reference (7)]"/>
  </connection>
  <connection id="6" xr16:uid="{88EA0611-5876-416A-BCEF-C058C65FE59D}" keepAlive="1" name="Query - fallrisk_eval_reference (8)" description="Connessione alla query 'fallrisk_eval_reference (8)' nella cartella di lavoro." type="5" refreshedVersion="0" background="1">
    <dbPr connection="Provider=Microsoft.Mashup.OleDb.1;Data Source=$Workbook$;Location=&quot;fallrisk_eval_reference (8)&quot;;Extended Properties=&quot;&quot;" command="SELECT * FROM [fallrisk_eval_reference (8)]"/>
  </connection>
  <connection id="7" xr16:uid="{48801138-F903-43EA-B831-61622E72593E}" keepAlive="1" name="Query - fallrisk_eval_reference (9)" description="Connessione alla query 'fallrisk_eval_reference (9)' nella cartella di lavoro." type="5" refreshedVersion="0" background="1">
    <dbPr connection="Provider=Microsoft.Mashup.OleDb.1;Data Source=$Workbook$;Location=&quot;fallrisk_eval_reference (9)&quot;;Extended Properties=&quot;&quot;" command="SELECT * FROM [fallrisk_eval_reference (9)]"/>
  </connection>
</connections>
</file>

<file path=xl/sharedStrings.xml><?xml version="1.0" encoding="utf-8"?>
<sst xmlns="http://schemas.openxmlformats.org/spreadsheetml/2006/main" count="133" uniqueCount="69">
  <si>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</si>
  <si>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</si>
  <si>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</si>
  <si>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</si>
  <si>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</si>
  <si>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</si>
  <si>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</si>
  <si>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</si>
  <si>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</si>
  <si>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</si>
  <si>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</si>
  <si>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</si>
  <si>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</si>
  <si>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</si>
  <si>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</si>
  <si>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</si>
  <si>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</si>
  <si>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</si>
  <si>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</si>
  <si>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</si>
  <si>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</si>
  <si>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</si>
  <si>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</si>
  <si>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</si>
  <si>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</si>
  <si>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</si>
  <si>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</si>
  <si>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</si>
  <si>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</si>
  <si>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</si>
  <si>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</si>
  <si>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parameters</t>
  </si>
  <si>
    <t>value</t>
  </si>
  <si>
    <t>p1*0</t>
  </si>
  <si>
    <t>p2*0</t>
  </si>
  <si>
    <t>p3*0</t>
  </si>
  <si>
    <t>P4*0</t>
  </si>
  <si>
    <t>p5*0</t>
  </si>
  <si>
    <t>p6*0</t>
  </si>
  <si>
    <t>p7*0</t>
  </si>
  <si>
    <t>p8*0</t>
  </si>
  <si>
    <t>p21*0</t>
  </si>
  <si>
    <t>P24*0</t>
  </si>
  <si>
    <t>p10*0,040819953</t>
  </si>
  <si>
    <t>p11*-0,002628714</t>
  </si>
  <si>
    <t>p12*-2,204172819</t>
  </si>
  <si>
    <t>p13*4,614495584</t>
  </si>
  <si>
    <t>p14*0,012624162</t>
  </si>
  <si>
    <t>p15*-0,037705026</t>
  </si>
  <si>
    <t>p16*0,305351309</t>
  </si>
  <si>
    <t>p17*-0,303689536</t>
  </si>
  <si>
    <t>p18*-0,009413989</t>
  </si>
  <si>
    <t>p19*0,045598519</t>
  </si>
  <si>
    <t>p20*0,006799912</t>
  </si>
  <si>
    <t>p22*-0,000387621</t>
  </si>
  <si>
    <t>p23*-0,181840904</t>
  </si>
  <si>
    <t>1*0,209592321 if p25 &lt;=0,8 0 otherwise</t>
  </si>
  <si>
    <t>P26*-0,063122</t>
  </si>
  <si>
    <t>P27*0,002702435</t>
  </si>
  <si>
    <t>P28*-0,049534148</t>
  </si>
  <si>
    <t>P29*0,079005596</t>
  </si>
  <si>
    <t>P30*0,000823927</t>
  </si>
  <si>
    <t>P31*0,188340514</t>
  </si>
  <si>
    <r>
      <t>p9*</t>
    </r>
    <r>
      <rPr>
        <sz val="11"/>
        <color theme="1"/>
        <rFont val="Calibri"/>
        <family val="2"/>
        <scheme val="minor"/>
      </rPr>
      <t>0,0014659527707809</t>
    </r>
  </si>
  <si>
    <t>linear_regression_weights</t>
  </si>
  <si>
    <t>mean_normality</t>
  </si>
  <si>
    <t>std_normality</t>
  </si>
  <si>
    <t>value_range [min]</t>
  </si>
  <si>
    <t>value_range [max]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</si>
</sst>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11" fontId="1" fillId="0" borderId="1" xfId="0" applyNumberFormat="1" applyFont="1" applyBorder="1" applyAlignment="1">
      <alignment horizontal="right" vertical="center" wrapText="1"/>
    </xf>
    <xf numFmtId="11" fontId="3" fillId="0" borderId="0" xfId="0" applyNumberFormat="1" applyFont="1" applyAlignment="1">
      <alignment horizontal="right" vertical="center" wrapText="1"/>
    </xf>
    <xf numFmtId="11" fontId="0" fillId="0" borderId="0" xfId="0" applyNumberFormat="1" applyAlignment="1">
      <alignment horizontal="right"/>
    </xf>
    <xf numFmtId="0" fontId="1" fillId="0" borderId="1" xfId="0" applyFont="1" applyBorder="1"/>
    <xf numFmtId="0" fontId="0" fillId="0" borderId="3" xfId="0" applyBorder="1"/>
    <xf numFmtId="0" fontId="0" fillId="0" borderId="2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9130-D4D5-4E9D-999B-7B9E2E6269CD}">
  <dimension ref="A1:C32"/>
  <sheetViews>
    <sheetView tabSelected="1" workbookViewId="0">
      <selection activeCell="C5" sqref="C5"/>
    </sheetView>
  </sheetViews>
  <sheetFormatPr defaultRowHeight="15" x14ac:dyDescent="0.25"/>
  <cols>
    <col min="1" max="1" width="11.28515625" customWidth="1"/>
    <col min="2" max="2" width="26.5703125" style="1" customWidth="1"/>
    <col min="3" max="3" width="36.28515625" style="9" customWidth="1"/>
  </cols>
  <sheetData>
    <row r="1" spans="1:3" x14ac:dyDescent="0.25">
      <c r="A1" s="6" t="s">
        <v>31</v>
      </c>
      <c r="B1" s="6" t="s">
        <v>64</v>
      </c>
      <c r="C1" s="7" t="s">
        <v>32</v>
      </c>
    </row>
    <row r="2" spans="1:3" x14ac:dyDescent="0.25">
      <c r="A2" s="2" t="s">
        <v>0</v>
      </c>
      <c r="B2" s="4">
        <v>0</v>
      </c>
      <c r="C2" s="8" t="s">
        <v>33</v>
      </c>
    </row>
    <row r="3" spans="1:3" x14ac:dyDescent="0.25">
      <c r="A3" s="2" t="s">
        <v>1</v>
      </c>
      <c r="B3" s="4">
        <v>0</v>
      </c>
      <c r="C3" s="8" t="s">
        <v>34</v>
      </c>
    </row>
    <row r="4" spans="1:3" x14ac:dyDescent="0.25">
      <c r="A4" s="2" t="s">
        <v>2</v>
      </c>
      <c r="B4" s="4">
        <v>0</v>
      </c>
      <c r="C4" s="8" t="s">
        <v>35</v>
      </c>
    </row>
    <row r="5" spans="1:3" x14ac:dyDescent="0.25">
      <c r="A5" s="2" t="s">
        <v>3</v>
      </c>
      <c r="B5" s="4">
        <v>0</v>
      </c>
      <c r="C5" s="8" t="s">
        <v>36</v>
      </c>
    </row>
    <row r="6" spans="1:3" x14ac:dyDescent="0.25">
      <c r="A6" s="2" t="s">
        <v>4</v>
      </c>
      <c r="B6" s="4">
        <v>0</v>
      </c>
      <c r="C6" s="8" t="s">
        <v>37</v>
      </c>
    </row>
    <row r="7" spans="1:3" x14ac:dyDescent="0.25">
      <c r="A7" s="2" t="s">
        <v>5</v>
      </c>
      <c r="B7" s="4">
        <v>0</v>
      </c>
      <c r="C7" s="8" t="s">
        <v>38</v>
      </c>
    </row>
    <row r="8" spans="1:3" x14ac:dyDescent="0.25">
      <c r="A8" s="2" t="s">
        <v>6</v>
      </c>
      <c r="B8" s="4">
        <v>0</v>
      </c>
      <c r="C8" s="8" t="s">
        <v>39</v>
      </c>
    </row>
    <row r="9" spans="1:3" x14ac:dyDescent="0.25">
      <c r="A9" s="2" t="s">
        <v>7</v>
      </c>
      <c r="B9" s="4">
        <v>0</v>
      </c>
      <c r="C9" s="8" t="s">
        <v>40</v>
      </c>
    </row>
    <row r="10" spans="1:3" x14ac:dyDescent="0.25">
      <c r="A10" s="2" t="s">
        <v>8</v>
      </c>
      <c r="B10" s="3">
        <v>1.4659527707809E-3</v>
      </c>
      <c r="C10" s="8" t="s">
        <v>63</v>
      </c>
    </row>
    <row r="11" spans="1:3" x14ac:dyDescent="0.25">
      <c r="A11" s="2" t="s">
        <v>9</v>
      </c>
      <c r="B11" s="3">
        <v>4.0819952999999999E-2</v>
      </c>
      <c r="C11" s="8" t="s">
        <v>43</v>
      </c>
    </row>
    <row r="12" spans="1:3" x14ac:dyDescent="0.25">
      <c r="A12" s="2" t="s">
        <v>10</v>
      </c>
      <c r="B12" s="3">
        <v>-2.6287139999999999E-3</v>
      </c>
      <c r="C12" s="8" t="s">
        <v>44</v>
      </c>
    </row>
    <row r="13" spans="1:3" x14ac:dyDescent="0.25">
      <c r="A13" s="2" t="s">
        <v>11</v>
      </c>
      <c r="B13" s="3">
        <v>-2.2041728190000001</v>
      </c>
      <c r="C13" s="8" t="s">
        <v>45</v>
      </c>
    </row>
    <row r="14" spans="1:3" x14ac:dyDescent="0.25">
      <c r="A14" s="2" t="s">
        <v>12</v>
      </c>
      <c r="B14" s="3">
        <v>4.6144955840000002</v>
      </c>
      <c r="C14" s="8" t="s">
        <v>46</v>
      </c>
    </row>
    <row r="15" spans="1:3" x14ac:dyDescent="0.25">
      <c r="A15" s="2" t="s">
        <v>13</v>
      </c>
      <c r="B15" s="3">
        <v>1.2624162E-2</v>
      </c>
      <c r="C15" s="8" t="s">
        <v>47</v>
      </c>
    </row>
    <row r="16" spans="1:3" x14ac:dyDescent="0.25">
      <c r="A16" s="2" t="s">
        <v>14</v>
      </c>
      <c r="B16" s="3">
        <v>-3.7705026000000003E-2</v>
      </c>
      <c r="C16" s="8" t="s">
        <v>48</v>
      </c>
    </row>
    <row r="17" spans="1:3" x14ac:dyDescent="0.25">
      <c r="A17" s="2" t="s">
        <v>15</v>
      </c>
      <c r="B17" s="3">
        <v>0.30535130900000002</v>
      </c>
      <c r="C17" s="8" t="s">
        <v>49</v>
      </c>
    </row>
    <row r="18" spans="1:3" x14ac:dyDescent="0.25">
      <c r="A18" s="2" t="s">
        <v>16</v>
      </c>
      <c r="B18" s="3">
        <v>-0.30368953599999998</v>
      </c>
      <c r="C18" s="8" t="s">
        <v>50</v>
      </c>
    </row>
    <row r="19" spans="1:3" x14ac:dyDescent="0.25">
      <c r="A19" s="2" t="s">
        <v>17</v>
      </c>
      <c r="B19" s="3">
        <v>-9.4139889999999993E-3</v>
      </c>
      <c r="C19" s="8" t="s">
        <v>51</v>
      </c>
    </row>
    <row r="20" spans="1:3" x14ac:dyDescent="0.25">
      <c r="A20" s="2" t="s">
        <v>18</v>
      </c>
      <c r="B20" s="3">
        <v>4.5598518999999997E-2</v>
      </c>
      <c r="C20" s="8" t="s">
        <v>52</v>
      </c>
    </row>
    <row r="21" spans="1:3" x14ac:dyDescent="0.25">
      <c r="A21" s="2" t="s">
        <v>19</v>
      </c>
      <c r="B21" s="3">
        <v>6.799912E-3</v>
      </c>
      <c r="C21" s="8" t="s">
        <v>53</v>
      </c>
    </row>
    <row r="22" spans="1:3" x14ac:dyDescent="0.25">
      <c r="A22" s="2" t="s">
        <v>20</v>
      </c>
      <c r="B22" s="4">
        <v>0</v>
      </c>
      <c r="C22" s="8" t="s">
        <v>41</v>
      </c>
    </row>
    <row r="23" spans="1:3" x14ac:dyDescent="0.25">
      <c r="A23" s="2" t="s">
        <v>21</v>
      </c>
      <c r="B23" s="3">
        <v>-3.8762099999999999E-4</v>
      </c>
      <c r="C23" s="8" t="s">
        <v>54</v>
      </c>
    </row>
    <row r="24" spans="1:3" x14ac:dyDescent="0.25">
      <c r="A24" s="2" t="s">
        <v>22</v>
      </c>
      <c r="B24" s="3">
        <v>-0.181840904</v>
      </c>
      <c r="C24" s="8" t="s">
        <v>55</v>
      </c>
    </row>
    <row r="25" spans="1:3" x14ac:dyDescent="0.25">
      <c r="A25" s="2" t="s">
        <v>23</v>
      </c>
      <c r="B25" s="3">
        <v>0</v>
      </c>
      <c r="C25" s="8" t="s">
        <v>42</v>
      </c>
    </row>
    <row r="26" spans="1:3" x14ac:dyDescent="0.25">
      <c r="A26" s="2" t="s">
        <v>24</v>
      </c>
      <c r="B26" s="3">
        <v>0.209592321</v>
      </c>
      <c r="C26" s="5" t="s">
        <v>56</v>
      </c>
    </row>
    <row r="27" spans="1:3" x14ac:dyDescent="0.25">
      <c r="A27" s="2" t="s">
        <v>25</v>
      </c>
      <c r="B27" s="3">
        <v>-6.3121999999999998E-2</v>
      </c>
      <c r="C27" s="8" t="s">
        <v>57</v>
      </c>
    </row>
    <row r="28" spans="1:3" x14ac:dyDescent="0.25">
      <c r="A28" s="2" t="s">
        <v>26</v>
      </c>
      <c r="B28" s="3">
        <v>2.702435E-3</v>
      </c>
      <c r="C28" s="8" t="s">
        <v>58</v>
      </c>
    </row>
    <row r="29" spans="1:3" x14ac:dyDescent="0.25">
      <c r="A29" s="2" t="s">
        <v>27</v>
      </c>
      <c r="B29" s="3">
        <v>-4.9534148E-2</v>
      </c>
      <c r="C29" s="8" t="s">
        <v>59</v>
      </c>
    </row>
    <row r="30" spans="1:3" x14ac:dyDescent="0.25">
      <c r="A30" s="2" t="s">
        <v>28</v>
      </c>
      <c r="B30" s="3">
        <v>7.9005595999999997E-2</v>
      </c>
      <c r="C30" s="8" t="s">
        <v>60</v>
      </c>
    </row>
    <row r="31" spans="1:3" x14ac:dyDescent="0.25">
      <c r="A31" s="2" t="s">
        <v>29</v>
      </c>
      <c r="B31" s="3">
        <v>8.2392700000000001E-4</v>
      </c>
      <c r="C31" s="8" t="s">
        <v>61</v>
      </c>
    </row>
    <row r="32" spans="1:3" x14ac:dyDescent="0.25">
      <c r="A32" s="2" t="s">
        <v>30</v>
      </c>
      <c r="B32" s="3">
        <v>0.18834051399999999</v>
      </c>
      <c r="C32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48E5-6445-4A0D-AE8D-00857FABC15B}">
  <dimension ref="A1:C32"/>
  <sheetViews>
    <sheetView workbookViewId="0">
      <selection activeCell="B31" sqref="B31"/>
    </sheetView>
  </sheetViews>
  <sheetFormatPr defaultRowHeight="15" x14ac:dyDescent="0.25"/>
  <cols>
    <col min="1" max="1" width="11.28515625" customWidth="1"/>
    <col min="2" max="2" width="18.85546875" customWidth="1"/>
    <col min="3" max="3" width="17.28515625" customWidth="1"/>
  </cols>
  <sheetData>
    <row r="1" spans="1:3" x14ac:dyDescent="0.25">
      <c r="A1" s="6" t="s">
        <v>31</v>
      </c>
      <c r="B1" s="6" t="s">
        <v>67</v>
      </c>
      <c r="C1" s="6" t="s">
        <v>68</v>
      </c>
    </row>
    <row r="2" spans="1:3" x14ac:dyDescent="0.25">
      <c r="A2" s="2" t="s">
        <v>0</v>
      </c>
      <c r="B2">
        <v>0</v>
      </c>
      <c r="C2">
        <f>value_normality!B2+4*value_normality!C2</f>
        <v>89.154121169297284</v>
      </c>
    </row>
    <row r="3" spans="1:3" x14ac:dyDescent="0.25">
      <c r="A3" s="2" t="s">
        <v>1</v>
      </c>
      <c r="B3">
        <v>0</v>
      </c>
      <c r="C3">
        <f>value_normality!B3+4*value_normality!C3</f>
        <v>5.4256066267709144</v>
      </c>
    </row>
    <row r="4" spans="1:3" x14ac:dyDescent="0.25">
      <c r="A4" s="2" t="s">
        <v>2</v>
      </c>
      <c r="B4">
        <v>0</v>
      </c>
      <c r="C4">
        <f>value_normality!B4+4*value_normality!C4</f>
        <v>5.8299830700535269</v>
      </c>
    </row>
    <row r="5" spans="1:3" x14ac:dyDescent="0.25">
      <c r="A5" s="2" t="s">
        <v>3</v>
      </c>
      <c r="B5">
        <v>0</v>
      </c>
      <c r="C5">
        <f>value_normality!B5+4*value_normality!C5</f>
        <v>0.11775436930949554</v>
      </c>
    </row>
    <row r="6" spans="1:3" x14ac:dyDescent="0.25">
      <c r="A6" s="2" t="s">
        <v>4</v>
      </c>
      <c r="B6">
        <v>0</v>
      </c>
      <c r="C6">
        <f>value_normality!B6+4*value_normality!C6</f>
        <v>124.92624126809217</v>
      </c>
    </row>
    <row r="7" spans="1:3" x14ac:dyDescent="0.25">
      <c r="A7" s="2" t="s">
        <v>5</v>
      </c>
      <c r="B7">
        <v>0</v>
      </c>
      <c r="C7">
        <f>value_normality!B7+4*value_normality!C7</f>
        <v>9.1194038397784816</v>
      </c>
    </row>
    <row r="8" spans="1:3" x14ac:dyDescent="0.25">
      <c r="A8" s="2" t="s">
        <v>6</v>
      </c>
      <c r="B8">
        <v>0</v>
      </c>
      <c r="C8">
        <f>value_normality!B8+4*value_normality!C8</f>
        <v>8.5982237900159859</v>
      </c>
    </row>
    <row r="9" spans="1:3" x14ac:dyDescent="0.25">
      <c r="A9" s="2" t="s">
        <v>7</v>
      </c>
      <c r="B9">
        <v>0</v>
      </c>
      <c r="C9">
        <f>value_normality!B9+4*value_normality!C9</f>
        <v>0.1159396880636174</v>
      </c>
    </row>
    <row r="10" spans="1:3" x14ac:dyDescent="0.25">
      <c r="A10" s="2" t="s">
        <v>8</v>
      </c>
      <c r="B10">
        <v>0</v>
      </c>
      <c r="C10">
        <f>value_normality!B10+4*value_normality!C10</f>
        <v>318.55825087933533</v>
      </c>
    </row>
    <row r="11" spans="1:3" x14ac:dyDescent="0.25">
      <c r="A11" s="2" t="s">
        <v>9</v>
      </c>
      <c r="B11">
        <v>0</v>
      </c>
      <c r="C11">
        <f>value_normality!B11+4*value_normality!C11</f>
        <v>20.750128706446656</v>
      </c>
    </row>
    <row r="12" spans="1:3" x14ac:dyDescent="0.25">
      <c r="A12" s="2" t="s">
        <v>10</v>
      </c>
      <c r="B12">
        <v>0</v>
      </c>
      <c r="C12">
        <f>value_normality!B12+4*value_normality!C12</f>
        <v>33.089558055300678</v>
      </c>
    </row>
    <row r="13" spans="1:3" x14ac:dyDescent="0.25">
      <c r="A13" s="2" t="s">
        <v>11</v>
      </c>
      <c r="B13">
        <v>0</v>
      </c>
      <c r="C13">
        <f>value_normality!B13+4*value_normality!C13</f>
        <v>0.20602298308383257</v>
      </c>
    </row>
    <row r="14" spans="1:3" x14ac:dyDescent="0.25">
      <c r="A14" s="2" t="s">
        <v>12</v>
      </c>
      <c r="B14">
        <v>0</v>
      </c>
      <c r="C14">
        <f>value_normality!B14+4*value_normality!C14</f>
        <v>0.21927100810818462</v>
      </c>
    </row>
    <row r="15" spans="1:3" x14ac:dyDescent="0.25">
      <c r="A15" s="2" t="s">
        <v>13</v>
      </c>
      <c r="B15">
        <v>0</v>
      </c>
      <c r="C15">
        <f>value_normality!B15+4*value_normality!C15</f>
        <v>16.54930774507336</v>
      </c>
    </row>
    <row r="16" spans="1:3" x14ac:dyDescent="0.25">
      <c r="A16" s="2" t="s">
        <v>14</v>
      </c>
      <c r="B16">
        <v>0</v>
      </c>
      <c r="C16">
        <f>value_normality!B16+4*value_normality!C16</f>
        <v>17.104767196395571</v>
      </c>
    </row>
    <row r="17" spans="1:3" x14ac:dyDescent="0.25">
      <c r="A17" s="2" t="s">
        <v>15</v>
      </c>
      <c r="B17">
        <v>0</v>
      </c>
      <c r="C17">
        <f>value_normality!B17+4*value_normality!C17</f>
        <v>2.9826558389010374</v>
      </c>
    </row>
    <row r="18" spans="1:3" x14ac:dyDescent="0.25">
      <c r="A18" s="2" t="s">
        <v>16</v>
      </c>
      <c r="B18">
        <v>0</v>
      </c>
      <c r="C18">
        <f>value_normality!B18+4*value_normality!C18</f>
        <v>3.7064851074533998</v>
      </c>
    </row>
    <row r="19" spans="1:3" x14ac:dyDescent="0.25">
      <c r="A19" s="2" t="s">
        <v>17</v>
      </c>
      <c r="B19">
        <v>0</v>
      </c>
      <c r="C19">
        <f>value_normality!B19+4*value_normality!C19</f>
        <v>3.1740315993447958</v>
      </c>
    </row>
    <row r="20" spans="1:3" x14ac:dyDescent="0.25">
      <c r="A20" s="2" t="s">
        <v>18</v>
      </c>
      <c r="B20">
        <v>0</v>
      </c>
      <c r="C20">
        <f>value_normality!B20+4*value_normality!C20</f>
        <v>18.391303823711212</v>
      </c>
    </row>
    <row r="21" spans="1:3" x14ac:dyDescent="0.25">
      <c r="A21" s="2" t="s">
        <v>19</v>
      </c>
      <c r="B21">
        <v>0</v>
      </c>
      <c r="C21">
        <f>value_normality!B21+4*value_normality!C21</f>
        <v>19.876572253236297</v>
      </c>
    </row>
    <row r="22" spans="1:3" x14ac:dyDescent="0.25">
      <c r="A22" s="2" t="s">
        <v>20</v>
      </c>
      <c r="B22">
        <v>0</v>
      </c>
      <c r="C22">
        <f>value_normality!B22+4*value_normality!C22</f>
        <v>11.522286238178447</v>
      </c>
    </row>
    <row r="23" spans="1:3" x14ac:dyDescent="0.25">
      <c r="A23" s="2" t="s">
        <v>21</v>
      </c>
      <c r="B23">
        <v>0</v>
      </c>
      <c r="C23">
        <f>value_normality!B23+4*value_normality!C23</f>
        <v>10.955223522315098</v>
      </c>
    </row>
    <row r="24" spans="1:3" x14ac:dyDescent="0.25">
      <c r="A24" s="2" t="s">
        <v>22</v>
      </c>
      <c r="B24">
        <v>0</v>
      </c>
      <c r="C24">
        <f>value_normality!B24+4*value_normality!C24</f>
        <v>3.204148599649693</v>
      </c>
    </row>
    <row r="25" spans="1:3" x14ac:dyDescent="0.25">
      <c r="A25" s="2" t="s">
        <v>23</v>
      </c>
      <c r="B25">
        <v>0</v>
      </c>
      <c r="C25">
        <f>value_normality!B25+4*value_normality!C25</f>
        <v>5.8506586488252736</v>
      </c>
    </row>
    <row r="26" spans="1:3" x14ac:dyDescent="0.25">
      <c r="A26" s="2" t="s">
        <v>24</v>
      </c>
      <c r="B26">
        <v>0</v>
      </c>
      <c r="C26">
        <f>value_normality!B26+4*value_normality!C26</f>
        <v>2.3045598079485137</v>
      </c>
    </row>
    <row r="27" spans="1:3" x14ac:dyDescent="0.25">
      <c r="A27" s="2" t="s">
        <v>25</v>
      </c>
      <c r="B27">
        <v>0</v>
      </c>
      <c r="C27">
        <f>value_normality!B27+4*value_normality!C27</f>
        <v>12.580289797045797</v>
      </c>
    </row>
    <row r="28" spans="1:3" x14ac:dyDescent="0.25">
      <c r="A28" s="2" t="s">
        <v>26</v>
      </c>
      <c r="B28">
        <v>0</v>
      </c>
      <c r="C28">
        <f>value_normality!B28+4*value_normality!C28</f>
        <v>13.486330696473855</v>
      </c>
    </row>
    <row r="29" spans="1:3" x14ac:dyDescent="0.25">
      <c r="A29" s="2" t="s">
        <v>27</v>
      </c>
      <c r="B29">
        <v>0</v>
      </c>
      <c r="C29">
        <f>value_normality!B29+4*value_normality!C29</f>
        <v>12.91683866917981</v>
      </c>
    </row>
    <row r="30" spans="1:3" x14ac:dyDescent="0.25">
      <c r="A30" s="2" t="s">
        <v>28</v>
      </c>
      <c r="B30">
        <v>0</v>
      </c>
      <c r="C30">
        <f>value_normality!B30+4*value_normality!C30</f>
        <v>9.497337647082789</v>
      </c>
    </row>
    <row r="31" spans="1:3" x14ac:dyDescent="0.25">
      <c r="A31" s="2" t="s">
        <v>29</v>
      </c>
    </row>
    <row r="32" spans="1:3" x14ac:dyDescent="0.25">
      <c r="A32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16D3-1596-43F6-BEB9-9B213BFF92FC}">
  <dimension ref="A1:C32"/>
  <sheetViews>
    <sheetView workbookViewId="0">
      <selection activeCell="J1" sqref="J1"/>
    </sheetView>
  </sheetViews>
  <sheetFormatPr defaultRowHeight="15" x14ac:dyDescent="0.25"/>
  <cols>
    <col min="1" max="1" width="11.28515625" customWidth="1"/>
    <col min="2" max="2" width="16.42578125" customWidth="1"/>
    <col min="3" max="3" width="15.140625" customWidth="1"/>
  </cols>
  <sheetData>
    <row r="1" spans="1:3" x14ac:dyDescent="0.25">
      <c r="A1" s="6" t="s">
        <v>31</v>
      </c>
      <c r="B1" s="10" t="s">
        <v>65</v>
      </c>
      <c r="C1" s="10" t="s">
        <v>66</v>
      </c>
    </row>
    <row r="2" spans="1:3" x14ac:dyDescent="0.25">
      <c r="A2" s="2" t="s">
        <v>0</v>
      </c>
      <c r="B2" s="11">
        <v>38.655314699651399</v>
      </c>
      <c r="C2" s="12">
        <v>12.624701617411471</v>
      </c>
    </row>
    <row r="3" spans="1:3" x14ac:dyDescent="0.25">
      <c r="A3" s="2" t="s">
        <v>1</v>
      </c>
      <c r="B3" s="11">
        <v>1.9697810882870623</v>
      </c>
      <c r="C3" s="12">
        <v>0.86395638462096291</v>
      </c>
    </row>
    <row r="4" spans="1:3" x14ac:dyDescent="0.25">
      <c r="A4" s="2" t="s">
        <v>2</v>
      </c>
      <c r="B4" s="11">
        <v>1.938700457467426</v>
      </c>
      <c r="C4" s="12">
        <v>0.97282065314652522</v>
      </c>
    </row>
    <row r="5" spans="1:3" x14ac:dyDescent="0.25">
      <c r="A5" s="2" t="s">
        <v>3</v>
      </c>
      <c r="B5" s="11">
        <v>4.8182437424044738E-2</v>
      </c>
      <c r="C5" s="12">
        <v>1.73929829713627E-2</v>
      </c>
    </row>
    <row r="6" spans="1:3" x14ac:dyDescent="0.25">
      <c r="A6" s="2" t="s">
        <v>4</v>
      </c>
      <c r="B6" s="11">
        <v>55.547211879424594</v>
      </c>
      <c r="C6" s="12">
        <v>17.344757347166894</v>
      </c>
    </row>
    <row r="7" spans="1:3" x14ac:dyDescent="0.25">
      <c r="A7" s="2" t="s">
        <v>5</v>
      </c>
      <c r="B7" s="11">
        <v>2.9959562272882012</v>
      </c>
      <c r="C7" s="12">
        <v>1.5308619031225703</v>
      </c>
    </row>
    <row r="8" spans="1:3" x14ac:dyDescent="0.25">
      <c r="A8" s="2" t="s">
        <v>6</v>
      </c>
      <c r="B8" s="11">
        <v>2.5395666431060406</v>
      </c>
      <c r="C8" s="12">
        <v>1.5146642867274864</v>
      </c>
    </row>
    <row r="9" spans="1:3" x14ac:dyDescent="0.25">
      <c r="A9" s="2" t="s">
        <v>7</v>
      </c>
      <c r="B9" s="11">
        <v>5.010737088145515E-2</v>
      </c>
      <c r="C9" s="12">
        <v>1.6458079295540565E-2</v>
      </c>
    </row>
    <row r="10" spans="1:3" x14ac:dyDescent="0.25">
      <c r="A10" s="2" t="s">
        <v>8</v>
      </c>
      <c r="B10" s="11">
        <v>110.12366453264912</v>
      </c>
      <c r="C10" s="12">
        <v>52.108646586671554</v>
      </c>
    </row>
    <row r="11" spans="1:3" x14ac:dyDescent="0.25">
      <c r="A11" s="2" t="s">
        <v>9</v>
      </c>
      <c r="B11" s="11">
        <v>7.4003558905049855</v>
      </c>
      <c r="C11" s="12">
        <v>3.3374432039854174</v>
      </c>
    </row>
    <row r="12" spans="1:3" x14ac:dyDescent="0.25">
      <c r="A12" s="2" t="s">
        <v>10</v>
      </c>
      <c r="B12" s="11">
        <v>10.391779415347555</v>
      </c>
      <c r="C12" s="12">
        <v>5.6744446599882812</v>
      </c>
    </row>
    <row r="13" spans="1:3" x14ac:dyDescent="0.25">
      <c r="A13" s="2" t="s">
        <v>11</v>
      </c>
      <c r="B13" s="11">
        <v>7.9093958939303793E-2</v>
      </c>
      <c r="C13" s="12">
        <v>3.1732256036132195E-2</v>
      </c>
    </row>
    <row r="14" spans="1:3" x14ac:dyDescent="0.25">
      <c r="A14" s="2" t="s">
        <v>12</v>
      </c>
      <c r="B14" s="11">
        <v>9.1104075672494081E-2</v>
      </c>
      <c r="C14" s="12">
        <v>3.2041733108922638E-2</v>
      </c>
    </row>
    <row r="15" spans="1:3" x14ac:dyDescent="0.25">
      <c r="A15" s="2" t="s">
        <v>13</v>
      </c>
      <c r="B15" s="11">
        <v>7.2723421052631574</v>
      </c>
      <c r="C15" s="12">
        <v>2.3192414099525505</v>
      </c>
    </row>
    <row r="16" spans="1:3" x14ac:dyDescent="0.25">
      <c r="A16" s="2" t="s">
        <v>14</v>
      </c>
      <c r="B16" s="11">
        <v>6.3140526315789449</v>
      </c>
      <c r="C16" s="12">
        <v>2.6976786412041567</v>
      </c>
    </row>
    <row r="17" spans="1:3" x14ac:dyDescent="0.25">
      <c r="A17" s="2" t="s">
        <v>15</v>
      </c>
      <c r="B17" s="11">
        <v>1.2131756756756762</v>
      </c>
      <c r="C17" s="12">
        <v>0.44237004080634029</v>
      </c>
    </row>
    <row r="18" spans="1:3" x14ac:dyDescent="0.25">
      <c r="A18" s="2" t="s">
        <v>16</v>
      </c>
      <c r="B18" s="11">
        <v>1.0326973684210528</v>
      </c>
      <c r="C18" s="12">
        <v>0.6684469347580867</v>
      </c>
    </row>
    <row r="19" spans="1:3" x14ac:dyDescent="0.25">
      <c r="A19" s="2" t="s">
        <v>17</v>
      </c>
      <c r="B19" s="11">
        <v>0.93727027027027077</v>
      </c>
      <c r="C19" s="12">
        <v>0.55919033226863124</v>
      </c>
    </row>
    <row r="20" spans="1:3" x14ac:dyDescent="0.25">
      <c r="A20" s="2" t="s">
        <v>18</v>
      </c>
      <c r="B20" s="11">
        <v>8.6668846153846175</v>
      </c>
      <c r="C20" s="12">
        <v>2.431104802081649</v>
      </c>
    </row>
    <row r="21" spans="1:3" x14ac:dyDescent="0.25">
      <c r="A21" s="2" t="s">
        <v>19</v>
      </c>
      <c r="B21" s="11">
        <v>8.8464871794871822</v>
      </c>
      <c r="C21" s="12">
        <v>2.7575212684372792</v>
      </c>
    </row>
    <row r="22" spans="1:3" x14ac:dyDescent="0.25">
      <c r="A22" s="2" t="s">
        <v>20</v>
      </c>
      <c r="B22" s="11">
        <v>4.0474615384615387</v>
      </c>
      <c r="C22" s="12">
        <v>1.8687061749292271</v>
      </c>
    </row>
    <row r="23" spans="1:3" x14ac:dyDescent="0.25">
      <c r="A23" s="2" t="s">
        <v>21</v>
      </c>
      <c r="B23" s="11">
        <v>3.9310897435897449</v>
      </c>
      <c r="C23" s="12">
        <v>1.7560334446813382</v>
      </c>
    </row>
    <row r="24" spans="1:3" x14ac:dyDescent="0.25">
      <c r="A24" s="2" t="s">
        <v>22</v>
      </c>
      <c r="B24" s="11">
        <v>1.6645098039215684</v>
      </c>
      <c r="C24" s="12">
        <v>0.38490969893203114</v>
      </c>
    </row>
    <row r="25" spans="1:3" x14ac:dyDescent="0.25">
      <c r="A25" s="2" t="s">
        <v>23</v>
      </c>
      <c r="B25" s="11">
        <v>3.1678431372549012</v>
      </c>
      <c r="C25" s="12">
        <v>0.67070387789259311</v>
      </c>
    </row>
    <row r="26" spans="1:3" x14ac:dyDescent="0.25">
      <c r="A26" s="2" t="s">
        <v>24</v>
      </c>
      <c r="B26" s="11">
        <v>1.0895641025641023</v>
      </c>
      <c r="C26" s="12">
        <v>0.3037489263461029</v>
      </c>
    </row>
    <row r="27" spans="1:3" x14ac:dyDescent="0.25">
      <c r="A27" s="2" t="s">
        <v>25</v>
      </c>
      <c r="B27" s="11">
        <v>6.9065294651403635</v>
      </c>
      <c r="C27" s="12">
        <v>1.4184400829763582</v>
      </c>
    </row>
    <row r="28" spans="1:3" x14ac:dyDescent="0.25">
      <c r="A28" s="2" t="s">
        <v>26</v>
      </c>
      <c r="B28" s="11">
        <v>7.0020634192600122</v>
      </c>
      <c r="C28" s="12">
        <v>1.6210668193034607</v>
      </c>
    </row>
    <row r="29" spans="1:3" x14ac:dyDescent="0.25">
      <c r="A29" s="2" t="s">
        <v>27</v>
      </c>
      <c r="B29" s="11">
        <v>6.5369645456906822</v>
      </c>
      <c r="C29" s="12">
        <v>1.5949685308722823</v>
      </c>
    </row>
    <row r="30" spans="1:3" x14ac:dyDescent="0.25">
      <c r="A30" s="2" t="s">
        <v>28</v>
      </c>
      <c r="B30" s="11">
        <v>5.1704936886602413</v>
      </c>
      <c r="C30" s="12">
        <v>1.0817109896056369</v>
      </c>
    </row>
    <row r="31" spans="1:3" x14ac:dyDescent="0.25">
      <c r="A31" s="2" t="s">
        <v>29</v>
      </c>
    </row>
    <row r="32" spans="1:3" x14ac:dyDescent="0.25">
      <c r="A32" s="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0337C-FD94-489F-AD0B-11E46AD18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RL_weights</vt:lpstr>
      <vt:lpstr>value_range</vt:lpstr>
      <vt:lpstr>value_normality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Falzarano</dc:creator>
  <cp:lastModifiedBy>Stefano Demarchi</cp:lastModifiedBy>
  <dcterms:created xsi:type="dcterms:W3CDTF">2023-12-05T14:34:29Z</dcterms:created>
  <dcterms:modified xsi:type="dcterms:W3CDTF">2023-12-15T10:37:12Z</dcterms:modified>
</cp:coreProperties>
</file>